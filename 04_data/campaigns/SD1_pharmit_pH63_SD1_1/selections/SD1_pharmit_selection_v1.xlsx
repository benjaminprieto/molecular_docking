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pharmit Selection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Consolas"/>
      <sz val="8"/>
    </font>
    <font>
      <name val="Arial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22" customWidth="1" min="4" max="4"/>
    <col width="8" customWidth="1" min="5" max="5"/>
    <col width="9" customWidth="1" min="6" max="6"/>
    <col width="7" customWidth="1" min="7" max="7"/>
    <col width="10" customWidth="1" min="8" max="8"/>
    <col width="11" customWidth="1" min="9" max="9"/>
    <col width="6" customWidth="1" min="10" max="10"/>
    <col width="6" customWidth="1" min="11" max="11"/>
    <col width="7" customWidth="1" min="12" max="12"/>
    <col width="9" customWidth="1" min="13" max="13"/>
    <col width="7" customWidth="1" min="14" max="14"/>
    <col width="7" customWidth="1" min="15" max="15"/>
    <col width="6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50" customWidth="1" min="29" max="29"/>
  </cols>
  <sheetData>
    <row r="1">
      <c r="A1" s="1" t="inlineStr">
        <is>
          <t>SD1_pharmit_pH63_SD1_1 — Hit Validation Selection v1 (Briggs 2018 + dual strategy A/B)</t>
        </is>
      </c>
    </row>
    <row r="2" ht="30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Strategy</t>
        </is>
      </c>
      <c r="E2" s="2" t="inlineStr">
        <is>
          <t>Grid</t>
        </is>
      </c>
      <c r="F2" s="2" t="inlineStr">
        <is>
          <t>%UDX Grid</t>
        </is>
      </c>
      <c r="G2" s="2" t="inlineStr">
        <is>
          <t>D6 Rank</t>
        </is>
      </c>
      <c r="H2" s="2" t="inlineStr">
        <is>
          <t>Composite D6</t>
        </is>
      </c>
      <c r="I2" s="2" t="inlineStr">
        <is>
          <t>Dominance</t>
        </is>
      </c>
      <c r="J2" s="2" t="inlineStr">
        <is>
          <t>vdW%</t>
        </is>
      </c>
      <c r="K2" s="2" t="inlineStr">
        <is>
          <t>ES%</t>
        </is>
      </c>
      <c r="L2" s="2" t="inlineStr">
        <is>
          <t>Vina</t>
        </is>
      </c>
      <c r="M2" s="2" t="inlineStr">
        <is>
          <t>%UDX Vina</t>
        </is>
      </c>
      <c r="N2" s="2" t="inlineStr">
        <is>
          <t>GN Rank</t>
        </is>
      </c>
      <c r="O2" s="2" t="inlineStr">
        <is>
          <t>wConv</t>
        </is>
      </c>
      <c r="P2" s="2" t="inlineStr">
        <is>
          <t>QED</t>
        </is>
      </c>
      <c r="Q2" s="2" t="inlineStr">
        <is>
          <t>MW</t>
        </is>
      </c>
      <c r="R2" s="2" t="inlineStr">
        <is>
          <t>GLU529</t>
        </is>
      </c>
      <c r="S2" s="2" t="inlineStr">
        <is>
          <t>TRP392</t>
        </is>
      </c>
      <c r="T2" s="2" t="inlineStr">
        <is>
          <t>TYR565</t>
        </is>
      </c>
      <c r="U2" s="2" t="inlineStr">
        <is>
          <t>HIS335</t>
        </is>
      </c>
      <c r="V2" s="2" t="inlineStr">
        <is>
          <t>ARG598</t>
        </is>
      </c>
      <c r="W2" s="2" t="inlineStr">
        <is>
          <t>LYS599</t>
        </is>
      </c>
      <c r="X2" s="2" t="inlineStr">
        <is>
          <t>ASP361</t>
        </is>
      </c>
      <c r="Y2" s="2" t="inlineStr">
        <is>
          <t>ARG363</t>
        </is>
      </c>
      <c r="Z2" s="2" t="inlineStr">
        <is>
          <t>TRP495</t>
        </is>
      </c>
      <c r="AA2" s="2" t="inlineStr">
        <is>
          <t>ASP494</t>
        </is>
      </c>
      <c r="AB2" s="2" t="inlineStr">
        <is>
          <t>Briggs Ess</t>
        </is>
      </c>
      <c r="AC2" s="2" t="inlineStr">
        <is>
          <t>Rationale</t>
        </is>
      </c>
    </row>
    <row r="3">
      <c r="A3" s="3" t="n">
        <v>1</v>
      </c>
      <c r="B3" s="3" t="inlineStr">
        <is>
          <t>GNINA-A</t>
        </is>
      </c>
      <c r="C3" s="4" t="inlineStr">
        <is>
          <t>MolPort-047-957-222</t>
        </is>
      </c>
      <c r="D3" s="3" t="inlineStr">
        <is>
          <t>UDP-xylose competitive</t>
        </is>
      </c>
      <c r="E3" s="3" t="n">
        <v>-39.992821</v>
      </c>
      <c r="F3" s="3" t="n">
        <v>0.5471722670679984</v>
      </c>
      <c r="G3" s="3" t="n">
        <v>89</v>
      </c>
      <c r="H3" s="3" t="n">
        <v>-36.5432252</v>
      </c>
      <c r="I3" s="3" t="inlineStr">
        <is>
          <t>vdW_dominant</t>
        </is>
      </c>
      <c r="J3" s="3" t="n">
        <v>1.08</v>
      </c>
      <c r="K3" s="3" t="n">
        <v>-0.08</v>
      </c>
      <c r="L3" s="3" t="n">
        <v>-8.59</v>
      </c>
      <c r="M3" s="3" t="n">
        <v>0.9630044843049327</v>
      </c>
      <c r="N3" s="3" t="n">
        <v>15</v>
      </c>
      <c r="O3" s="3" t="n">
        <v>0.7398</v>
      </c>
      <c r="P3" s="3" t="n">
        <v>0.62</v>
      </c>
      <c r="Q3" s="3" t="n">
        <v>386.4</v>
      </c>
      <c r="R3" s="3" t="inlineStr">
        <is>
          <t>3.6v</t>
        </is>
      </c>
      <c r="S3" s="3" t="inlineStr">
        <is>
          <t>3.0H</t>
        </is>
      </c>
      <c r="T3" s="3" t="n"/>
      <c r="U3" s="3" t="n"/>
      <c r="V3" s="3" t="inlineStr">
        <is>
          <t>3.4H</t>
        </is>
      </c>
      <c r="W3" s="3" t="inlineStr">
        <is>
          <t>3.2H</t>
        </is>
      </c>
      <c r="X3" s="3" t="n"/>
      <c r="Y3" s="3" t="n"/>
      <c r="Z3" s="3" t="inlineStr">
        <is>
          <t>3.2H</t>
        </is>
      </c>
      <c r="AA3" s="3" t="inlineStr">
        <is>
          <t>3.1H</t>
        </is>
      </c>
      <c r="AB3" s="3" t="inlineStr">
        <is>
          <t>6/6</t>
        </is>
      </c>
      <c r="AC3" s="5" t="inlineStr">
        <is>
          <t>Best balance affinity+Briggs. 6/6 essential, Vina -8.59, comprable MolPort.</t>
        </is>
      </c>
    </row>
    <row r="4">
      <c r="A4" s="3" t="n">
        <v>2</v>
      </c>
      <c r="B4" s="3" t="inlineStr">
        <is>
          <t>GNINA-A</t>
        </is>
      </c>
      <c r="C4" s="4" t="inlineStr">
        <is>
          <t>MolPort-019-848-270</t>
        </is>
      </c>
      <c r="D4" s="3" t="inlineStr">
        <is>
          <t>UDP-xylose competitive</t>
        </is>
      </c>
      <c r="E4" s="3" t="n">
        <v>-45.308212</v>
      </c>
      <c r="F4" s="3" t="n">
        <v>0.6198961827883431</v>
      </c>
      <c r="G4" s="3" t="n">
        <v>74</v>
      </c>
      <c r="H4" s="3" t="n">
        <v>-38.025602</v>
      </c>
      <c r="I4" s="3" t="inlineStr">
        <is>
          <t>vdW_dominant</t>
        </is>
      </c>
      <c r="J4" s="3" t="n">
        <v>0.804</v>
      </c>
      <c r="K4" s="3" t="n">
        <v>0.196</v>
      </c>
      <c r="L4" s="3" t="n">
        <v>-8.65</v>
      </c>
      <c r="M4" s="3" t="n">
        <v>0.969730941704036</v>
      </c>
      <c r="N4" s="3" t="n">
        <v>10</v>
      </c>
      <c r="O4" s="3" t="n">
        <v>0.7671</v>
      </c>
      <c r="P4" s="3" t="n">
        <v>0.58</v>
      </c>
      <c r="Q4" s="3" t="n">
        <v>295.3</v>
      </c>
      <c r="R4" s="3" t="inlineStr">
        <is>
          <t>2.9H</t>
        </is>
      </c>
      <c r="S4" s="3" t="inlineStr">
        <is>
          <t>3.2H</t>
        </is>
      </c>
      <c r="T4" s="3" t="n"/>
      <c r="U4" s="3" t="n"/>
      <c r="V4" s="3" t="inlineStr">
        <is>
          <t>4.4v</t>
        </is>
      </c>
      <c r="W4" s="3" t="n"/>
      <c r="X4" s="3" t="n"/>
      <c r="Y4" s="3" t="n"/>
      <c r="Z4" s="3" t="inlineStr">
        <is>
          <t>3.2H</t>
        </is>
      </c>
      <c r="AA4" s="3" t="inlineStr">
        <is>
          <t>3.0H</t>
        </is>
      </c>
      <c r="AB4" s="3" t="inlineStr">
        <is>
          <t>5/6</t>
        </is>
      </c>
      <c r="AC4" s="5" t="inlineStr">
        <is>
          <t>Best GNINA composite in Briggs group (-6.635). MW 295, comprable.</t>
        </is>
      </c>
    </row>
    <row r="5">
      <c r="A5" s="3" t="n">
        <v>3</v>
      </c>
      <c r="B5" s="3" t="inlineStr">
        <is>
          <t>GNINA-A</t>
        </is>
      </c>
      <c r="C5" s="4" t="inlineStr">
        <is>
          <t>PubChem-4139449</t>
        </is>
      </c>
      <c r="D5" s="3" t="inlineStr">
        <is>
          <t>UDP-xylose competitive</t>
        </is>
      </c>
      <c r="E5" s="3" t="n">
        <v>-47.366768</v>
      </c>
      <c r="F5" s="3" t="n">
        <v>0.6480608564783144</v>
      </c>
      <c r="G5" s="3" t="n">
        <v>268</v>
      </c>
      <c r="H5" s="3" t="n">
        <v>-27.5918596</v>
      </c>
      <c r="I5" s="3" t="inlineStr">
        <is>
          <t>vdW_dominant</t>
        </is>
      </c>
      <c r="J5" s="3" t="n">
        <v>0.8139999999999999</v>
      </c>
      <c r="K5" s="3" t="n">
        <v>0.186</v>
      </c>
      <c r="L5" s="3" t="n">
        <v>-8.33</v>
      </c>
      <c r="M5" s="3" t="n">
        <v>0.9338565022421524</v>
      </c>
      <c r="N5" s="3" t="n">
        <v>26</v>
      </c>
      <c r="O5" s="3" t="n">
        <v>0.7302999999999999</v>
      </c>
      <c r="P5" s="3" t="n">
        <v>0.606</v>
      </c>
      <c r="Q5" s="3" t="n">
        <v>304.3</v>
      </c>
      <c r="R5" s="3" t="inlineStr">
        <is>
          <t>2.7H</t>
        </is>
      </c>
      <c r="S5" s="3" t="inlineStr">
        <is>
          <t>3.1H</t>
        </is>
      </c>
      <c r="T5" s="3" t="n"/>
      <c r="U5" s="3" t="n"/>
      <c r="V5" s="3" t="inlineStr">
        <is>
          <t>3.2H</t>
        </is>
      </c>
      <c r="W5" s="3" t="n"/>
      <c r="X5" s="3" t="n"/>
      <c r="Y5" s="3" t="n"/>
      <c r="Z5" s="3" t="inlineStr">
        <is>
          <t>4.2v</t>
        </is>
      </c>
      <c r="AA5" s="3" t="inlineStr">
        <is>
          <t>3.5H</t>
        </is>
      </c>
      <c r="AB5" s="3" t="inlineStr">
        <is>
          <t>5/6</t>
        </is>
      </c>
      <c r="AC5" s="5" t="inlineStr">
        <is>
          <t>W392 closest H-bond (3.1A). QED 0.606. UDP-xylose competitive.</t>
        </is>
      </c>
    </row>
    <row r="6">
      <c r="A6" s="3" t="n">
        <v>4</v>
      </c>
      <c r="B6" s="3" t="inlineStr">
        <is>
          <t>GNINA-A</t>
        </is>
      </c>
      <c r="C6" s="4" t="inlineStr">
        <is>
          <t>PubChem-163468873</t>
        </is>
      </c>
      <c r="D6" s="3" t="inlineStr">
        <is>
          <t>UDP-xylose competitive</t>
        </is>
      </c>
      <c r="E6" s="3" t="n">
        <v>-48.135269</v>
      </c>
      <c r="F6" s="3" t="n">
        <v>0.6585753044192092</v>
      </c>
      <c r="G6" s="3" t="n">
        <v>21</v>
      </c>
      <c r="H6" s="3" t="n">
        <v>-43.06929766666667</v>
      </c>
      <c r="I6" s="3" t="inlineStr">
        <is>
          <t>vdW_dominant</t>
        </is>
      </c>
      <c r="J6" s="3" t="n">
        <v>0.667</v>
      </c>
      <c r="K6" s="3" t="n">
        <v>0.333</v>
      </c>
      <c r="L6" s="3" t="n">
        <v>-6.59</v>
      </c>
      <c r="M6" s="3" t="n">
        <v>0.7387892376681614</v>
      </c>
      <c r="N6" s="3" t="n">
        <v>48</v>
      </c>
      <c r="O6" s="3" t="n">
        <v>0.8701</v>
      </c>
      <c r="P6" s="3" t="n">
        <v>0.483</v>
      </c>
      <c r="Q6" s="3" t="n">
        <v>282.3</v>
      </c>
      <c r="R6" s="3" t="inlineStr">
        <is>
          <t>2.8H</t>
        </is>
      </c>
      <c r="S6" s="3" t="inlineStr">
        <is>
          <t>3.4H</t>
        </is>
      </c>
      <c r="T6" s="3" t="inlineStr">
        <is>
          <t>4.3v</t>
        </is>
      </c>
      <c r="U6" s="3" t="n"/>
      <c r="V6" s="3" t="inlineStr">
        <is>
          <t>3.3H</t>
        </is>
      </c>
      <c r="W6" s="3" t="inlineStr">
        <is>
          <t>3.5H</t>
        </is>
      </c>
      <c r="X6" s="3" t="n"/>
      <c r="Y6" s="3" t="n"/>
      <c r="Z6" s="3" t="inlineStr">
        <is>
          <t>3.4H</t>
        </is>
      </c>
      <c r="AA6" s="3" t="inlineStr">
        <is>
          <t>2.9H</t>
        </is>
      </c>
      <c r="AB6" s="3" t="inlineStr">
        <is>
          <t>6/6</t>
        </is>
      </c>
      <c r="AC6" s="5" t="inlineStr">
        <is>
          <t>Exact SD1 contact pattern replica (6/6, score 18.0). MW 282 scaffold minimo. D6#21.</t>
        </is>
      </c>
    </row>
    <row r="7">
      <c r="A7" s="6" t="n">
        <v>5</v>
      </c>
      <c r="B7" s="6" t="inlineStr">
        <is>
          <t>GNINA-B</t>
        </is>
      </c>
      <c r="C7" s="7" t="inlineStr">
        <is>
          <t>PubChem-136263557</t>
        </is>
      </c>
      <c r="D7" s="6" t="inlineStr">
        <is>
          <t>Catalytic site blocker</t>
        </is>
      </c>
      <c r="E7" s="6" t="n">
        <v>-33.081631</v>
      </c>
      <c r="F7" s="6" t="n">
        <v>0.4526150088931454</v>
      </c>
      <c r="G7" s="6" t="n">
        <v>228</v>
      </c>
      <c r="H7" s="6" t="n">
        <v>-30.60268066666667</v>
      </c>
      <c r="I7" s="6" t="inlineStr">
        <is>
          <t>balanced</t>
        </is>
      </c>
      <c r="J7" s="6" t="n">
        <v>0.663</v>
      </c>
      <c r="K7" s="6" t="n">
        <v>0.337</v>
      </c>
      <c r="L7" s="6" t="n">
        <v>-8.880000000000001</v>
      </c>
      <c r="M7" s="6" t="n">
        <v>0.9955156950672647</v>
      </c>
      <c r="N7" s="6" t="n">
        <v>1</v>
      </c>
      <c r="O7" s="6" t="n">
        <v>0.8873</v>
      </c>
      <c r="P7" s="6" t="n">
        <v>0.526</v>
      </c>
      <c r="Q7" s="6" t="n">
        <v>344.4</v>
      </c>
      <c r="R7" s="6" t="inlineStr">
        <is>
          <t>3.1H</t>
        </is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inlineStr">
        <is>
          <t>1/6</t>
        </is>
      </c>
      <c r="AC7" s="8" t="inlineStr">
        <is>
          <t>GNINA #1 absoluto. Composite -7.879, wConv 0.887. E529 + 3/3 peptide residues.</t>
        </is>
      </c>
    </row>
    <row r="8">
      <c r="A8" s="6" t="n">
        <v>6</v>
      </c>
      <c r="B8" s="6" t="inlineStr">
        <is>
          <t>GNINA-B</t>
        </is>
      </c>
      <c r="C8" s="7" t="inlineStr">
        <is>
          <t>PubChem-42610901</t>
        </is>
      </c>
      <c r="D8" s="6" t="inlineStr">
        <is>
          <t>Catalytic site blocker</t>
        </is>
      </c>
      <c r="E8" s="6" t="n"/>
      <c r="F8" s="6" t="n"/>
      <c r="G8" s="6" t="n"/>
      <c r="H8" s="6" t="n"/>
      <c r="I8" s="6" t="n"/>
      <c r="J8" s="6" t="n"/>
      <c r="K8" s="6" t="n"/>
      <c r="L8" s="6" t="n">
        <v>-8.4</v>
      </c>
      <c r="M8" s="6" t="n">
        <v>0.9417040358744395</v>
      </c>
      <c r="N8" s="6" t="n">
        <v>5</v>
      </c>
      <c r="O8" s="6" t="n">
        <v>0.8208</v>
      </c>
      <c r="P8" s="6" t="n">
        <v>0.408</v>
      </c>
      <c r="Q8" s="6" t="n">
        <v>345.1</v>
      </c>
      <c r="R8" s="6" t="inlineStr">
        <is>
          <t>3.5H</t>
        </is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inlineStr">
        <is>
          <t>1/6</t>
        </is>
      </c>
      <c r="AC8" s="8" t="inlineStr">
        <is>
          <t>E529 H-bond 3.5A + Q462 closest (2.7A). Sin DOCK6 (fallo antechamber).</t>
        </is>
      </c>
    </row>
    <row r="9">
      <c r="A9" s="6" t="n">
        <v>7</v>
      </c>
      <c r="B9" s="6" t="inlineStr">
        <is>
          <t>GNINA-B</t>
        </is>
      </c>
      <c r="C9" s="7" t="inlineStr">
        <is>
          <t>PubChem-46264421</t>
        </is>
      </c>
      <c r="D9" s="6" t="inlineStr">
        <is>
          <t>Catalytic site blocker</t>
        </is>
      </c>
      <c r="E9" s="6" t="n">
        <v>-41.363129</v>
      </c>
      <c r="F9" s="6" t="n">
        <v>0.565920495279792</v>
      </c>
      <c r="G9" s="6" t="n">
        <v>181</v>
      </c>
      <c r="H9" s="6" t="n">
        <v>-32.8595165</v>
      </c>
      <c r="I9" s="6" t="inlineStr">
        <is>
          <t>vdW_dominant</t>
        </is>
      </c>
      <c r="J9" s="6" t="n">
        <v>0.729</v>
      </c>
      <c r="K9" s="6" t="n">
        <v>0.271</v>
      </c>
      <c r="L9" s="6" t="n">
        <v>-7.54</v>
      </c>
      <c r="M9" s="6" t="n">
        <v>0.8452914798206278</v>
      </c>
      <c r="N9" s="6" t="n">
        <v>7</v>
      </c>
      <c r="O9" s="6" t="n">
        <v>0.91</v>
      </c>
      <c r="P9" s="6" t="n">
        <v>0.611</v>
      </c>
      <c r="Q9" s="6" t="n">
        <v>305.3</v>
      </c>
      <c r="R9" s="6" t="inlineStr">
        <is>
          <t>3.4H</t>
        </is>
      </c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inlineStr">
        <is>
          <t>1/6</t>
        </is>
      </c>
      <c r="AC9" s="8" t="inlineStr">
        <is>
          <t>Convergencia mas alta seleccion B (0.910). MW 305, QED 0.611.</t>
        </is>
      </c>
    </row>
    <row r="10">
      <c r="A10" s="6" t="n">
        <v>8</v>
      </c>
      <c r="B10" s="6" t="inlineStr">
        <is>
          <t>GNINA-B</t>
        </is>
      </c>
      <c r="C10" s="7" t="inlineStr">
        <is>
          <t>PubChem-135990098</t>
        </is>
      </c>
      <c r="D10" s="6" t="inlineStr">
        <is>
          <t>Catalytic site blocker</t>
        </is>
      </c>
      <c r="E10" s="6" t="n">
        <v>-39.507488</v>
      </c>
      <c r="F10" s="6" t="n">
        <v>0.5405320563688603</v>
      </c>
      <c r="G10" s="6" t="n">
        <v>159</v>
      </c>
      <c r="H10" s="6" t="n">
        <v>-33.8103215</v>
      </c>
      <c r="I10" s="6" t="inlineStr">
        <is>
          <t>vdW_dominant</t>
        </is>
      </c>
      <c r="J10" s="6" t="n">
        <v>0.838</v>
      </c>
      <c r="K10" s="6" t="n">
        <v>0.162</v>
      </c>
      <c r="L10" s="6" t="n">
        <v>-7.41</v>
      </c>
      <c r="M10" s="6" t="n">
        <v>0.8307174887892377</v>
      </c>
      <c r="N10" s="6" t="n">
        <v>11</v>
      </c>
      <c r="O10" s="6" t="n">
        <v>0.8821</v>
      </c>
      <c r="P10" s="6" t="n">
        <v>0.443</v>
      </c>
      <c r="Q10" s="6" t="n">
        <v>285.3</v>
      </c>
      <c r="R10" s="6" t="inlineStr">
        <is>
          <t>3.1H</t>
        </is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inlineStr">
        <is>
          <t>1/6</t>
        </is>
      </c>
      <c r="AC10" s="8" t="inlineStr">
        <is>
          <t>Scaffold mas pequeno grupo B (285 Da). QED 0.443. wConv 0.882.</t>
        </is>
      </c>
    </row>
    <row r="11">
      <c r="A11" s="9" t="n">
        <v>9</v>
      </c>
      <c r="B11" s="9" t="inlineStr">
        <is>
          <t>DOCK6-A</t>
        </is>
      </c>
      <c r="C11" s="10" t="inlineStr">
        <is>
          <t>MolPort-002-536-294</t>
        </is>
      </c>
      <c r="D11" s="9" t="inlineStr">
        <is>
          <t>UDP-xylose competitive</t>
        </is>
      </c>
      <c r="E11" s="9" t="n">
        <v>-58.898212</v>
      </c>
      <c r="F11" s="9" t="n">
        <v>0.8058313312354631</v>
      </c>
      <c r="G11" s="9" t="n">
        <v>2</v>
      </c>
      <c r="H11" s="9" t="n">
        <v>-52.872068</v>
      </c>
      <c r="I11" s="9" t="inlineStr">
        <is>
          <t>vdW_dominant</t>
        </is>
      </c>
      <c r="J11" s="9" t="n">
        <v>0.924</v>
      </c>
      <c r="K11" s="9" t="n">
        <v>0.076</v>
      </c>
      <c r="L11" s="9" t="n">
        <v>-7.8</v>
      </c>
      <c r="M11" s="9" t="n">
        <v>0.874439461883408</v>
      </c>
      <c r="N11" s="9" t="n">
        <v>229</v>
      </c>
      <c r="O11" s="9" t="n">
        <v>0.4385</v>
      </c>
      <c r="P11" s="9" t="n">
        <v>0.209</v>
      </c>
      <c r="Q11" s="9" t="n">
        <v>447.4</v>
      </c>
      <c r="R11" s="9" t="inlineStr">
        <is>
          <t>3.2H</t>
        </is>
      </c>
      <c r="S11" s="9" t="n"/>
      <c r="T11" s="9" t="n"/>
      <c r="U11" s="9" t="n"/>
      <c r="V11" s="9" t="inlineStr">
        <is>
          <t>3.0H</t>
        </is>
      </c>
      <c r="W11" s="9" t="n"/>
      <c r="X11" s="9" t="n"/>
      <c r="Y11" s="9" t="n"/>
      <c r="Z11" s="9" t="inlineStr">
        <is>
          <t>3.0H</t>
        </is>
      </c>
      <c r="AA11" s="9" t="inlineStr">
        <is>
          <t>3.6v</t>
        </is>
      </c>
      <c r="AB11" s="9" t="inlineStr">
        <is>
          <t>4/6</t>
        </is>
      </c>
      <c r="AC11" s="11">
        <f>PubChem-16408404. Mejor Grid absoluto (-58.9). Comprable MolPort.</f>
        <v/>
      </c>
    </row>
    <row r="12">
      <c r="A12" s="9" t="n">
        <v>10</v>
      </c>
      <c r="B12" s="9" t="inlineStr">
        <is>
          <t>DOCK6-A</t>
        </is>
      </c>
      <c r="C12" s="10" t="inlineStr">
        <is>
          <t>PubChem-56194778</t>
        </is>
      </c>
      <c r="D12" s="9" t="inlineStr">
        <is>
          <t>UDP-xylose competitive</t>
        </is>
      </c>
      <c r="E12" s="9" t="n">
        <v>-57.023804</v>
      </c>
      <c r="F12" s="9" t="n">
        <v>0.780186126693118</v>
      </c>
      <c r="G12" s="9" t="n">
        <v>34</v>
      </c>
      <c r="H12" s="9" t="n">
        <v>-41.55588914285714</v>
      </c>
      <c r="I12" s="9" t="inlineStr">
        <is>
          <t>vdW_dominant</t>
        </is>
      </c>
      <c r="J12" s="9" t="n">
        <v>0.802</v>
      </c>
      <c r="K12" s="9" t="n">
        <v>0.198</v>
      </c>
      <c r="L12" s="9" t="n">
        <v>-8.640000000000001</v>
      </c>
      <c r="M12" s="9" t="n">
        <v>0.968609865470852</v>
      </c>
      <c r="N12" s="9" t="n">
        <v>126</v>
      </c>
      <c r="O12" s="9" t="n">
        <v>0.5366</v>
      </c>
      <c r="P12" s="9" t="n">
        <v>0.374</v>
      </c>
      <c r="Q12" s="9" t="n">
        <v>406.8</v>
      </c>
      <c r="R12" s="9" t="inlineStr">
        <is>
          <t>3.1H</t>
        </is>
      </c>
      <c r="S12" s="9" t="inlineStr">
        <is>
          <t>3.3H</t>
        </is>
      </c>
      <c r="T12" s="9" t="n"/>
      <c r="U12" s="9" t="n"/>
      <c r="V12" s="9" t="inlineStr">
        <is>
          <t>3.6v</t>
        </is>
      </c>
      <c r="W12" s="9" t="inlineStr">
        <is>
          <t>3.4H</t>
        </is>
      </c>
      <c r="X12" s="9" t="n"/>
      <c r="Y12" s="9" t="n"/>
      <c r="Z12" s="9" t="inlineStr">
        <is>
          <t>3.1H</t>
        </is>
      </c>
      <c r="AA12" s="9" t="inlineStr">
        <is>
          <t>2.9H</t>
        </is>
      </c>
      <c r="AB12" s="9" t="inlineStr">
        <is>
          <t>6/6</t>
        </is>
      </c>
      <c r="AC12" s="11" t="inlineStr">
        <is>
          <t>Grid -57.0 + 6/6 Briggs + K599 H-bond + GN#126. Mejor candidato global DOCK6.</t>
        </is>
      </c>
    </row>
    <row r="13">
      <c r="A13" s="9" t="n">
        <v>11</v>
      </c>
      <c r="B13" s="9" t="inlineStr">
        <is>
          <t>DOCK6-A</t>
        </is>
      </c>
      <c r="C13" s="10" t="inlineStr">
        <is>
          <t>PubChem-18218190</t>
        </is>
      </c>
      <c r="D13" s="9" t="inlineStr">
        <is>
          <t>UDP-xylose competitive</t>
        </is>
      </c>
      <c r="E13" s="9" t="n">
        <v>-52.520153</v>
      </c>
      <c r="F13" s="9" t="n">
        <v>0.7185682446299083</v>
      </c>
      <c r="G13" s="9" t="n">
        <v>4</v>
      </c>
      <c r="H13" s="9" t="n">
        <v>-52.1073415</v>
      </c>
      <c r="I13" s="9" t="inlineStr">
        <is>
          <t>balanced</t>
        </is>
      </c>
      <c r="J13" s="9" t="n">
        <v>0.569</v>
      </c>
      <c r="K13" s="9" t="n">
        <v>0.431</v>
      </c>
      <c r="L13" s="9" t="n">
        <v>-5.44</v>
      </c>
      <c r="M13" s="9" t="n">
        <v>0.609865470852018</v>
      </c>
      <c r="N13" s="9" t="n">
        <v>217</v>
      </c>
      <c r="O13" s="9" t="n">
        <v>0.6542</v>
      </c>
      <c r="P13" s="9" t="n">
        <v>0.324</v>
      </c>
      <c r="Q13" s="9" t="n">
        <v>247.2</v>
      </c>
      <c r="R13" s="9" t="inlineStr">
        <is>
          <t>3.0H</t>
        </is>
      </c>
      <c r="S13" s="9" t="inlineStr">
        <is>
          <t>3.5H</t>
        </is>
      </c>
      <c r="T13" s="9" t="n"/>
      <c r="U13" s="9" t="n"/>
      <c r="V13" s="9" t="inlineStr">
        <is>
          <t>3.0H</t>
        </is>
      </c>
      <c r="W13" s="9" t="n"/>
      <c r="X13" s="9" t="n"/>
      <c r="Y13" s="9" t="n"/>
      <c r="Z13" s="9" t="inlineStr">
        <is>
          <t>3.2H</t>
        </is>
      </c>
      <c r="AA13" s="9" t="inlineStr">
        <is>
          <t>3.0H</t>
        </is>
      </c>
      <c r="AB13" s="9" t="inlineStr">
        <is>
          <t>5/6</t>
        </is>
      </c>
      <c r="AC13" s="11" t="inlineStr">
        <is>
          <t>Scaffold minimo (MW 247). 57% electrostatico — excepcionalmente balanceado DOCK6.</t>
        </is>
      </c>
    </row>
    <row r="14">
      <c r="A14" s="9" t="n">
        <v>12</v>
      </c>
      <c r="B14" s="9" t="inlineStr">
        <is>
          <t>DOCK6-A</t>
        </is>
      </c>
      <c r="C14" s="10" t="inlineStr">
        <is>
          <t>PubChem-92239070</t>
        </is>
      </c>
      <c r="D14" s="9" t="inlineStr">
        <is>
          <t>UDP-xylose competitive</t>
        </is>
      </c>
      <c r="E14" s="9" t="n">
        <v>-45.827133</v>
      </c>
      <c r="F14" s="9" t="n">
        <v>0.6269959365166233</v>
      </c>
      <c r="G14" s="9" t="n">
        <v>26</v>
      </c>
      <c r="H14" s="9" t="n">
        <v>-42.58721425</v>
      </c>
      <c r="I14" s="9" t="inlineStr">
        <is>
          <t>vdW_dominant</t>
        </is>
      </c>
      <c r="J14" s="9" t="n">
        <v>0.95</v>
      </c>
      <c r="K14" s="9" t="n">
        <v>0.05</v>
      </c>
      <c r="L14" s="9" t="n">
        <v>-7.97</v>
      </c>
      <c r="M14" s="9" t="n">
        <v>0.8934977578475336</v>
      </c>
      <c r="N14" s="9" t="n">
        <v>208</v>
      </c>
      <c r="O14" s="9" t="n">
        <v>0.4671</v>
      </c>
      <c r="P14" s="9" t="n">
        <v>0.381</v>
      </c>
      <c r="Q14" s="9" t="n">
        <v>384.4</v>
      </c>
      <c r="R14" s="9" t="inlineStr">
        <is>
          <t>2.8H</t>
        </is>
      </c>
      <c r="S14" s="9" t="inlineStr">
        <is>
          <t>2.8H</t>
        </is>
      </c>
      <c r="T14" s="9" t="inlineStr">
        <is>
          <t>4.5v</t>
        </is>
      </c>
      <c r="U14" s="9" t="n"/>
      <c r="V14" s="9" t="inlineStr">
        <is>
          <t>3.0H</t>
        </is>
      </c>
      <c r="W14" s="9" t="inlineStr">
        <is>
          <t>3.6v</t>
        </is>
      </c>
      <c r="X14" s="9" t="n"/>
      <c r="Y14" s="9" t="n"/>
      <c r="Z14" s="9" t="inlineStr">
        <is>
          <t>3.5H</t>
        </is>
      </c>
      <c r="AA14" s="9" t="inlineStr">
        <is>
          <t>3.2H</t>
        </is>
      </c>
      <c r="AB14" s="9" t="inlineStr">
        <is>
          <t>6/6</t>
        </is>
      </c>
      <c r="AC14" s="11" t="inlineStr">
        <is>
          <t>6/6 Briggs, W392 mas cercano DOCK6 (2.8A H-bond). Grid -45.8.</t>
        </is>
      </c>
    </row>
    <row r="15">
      <c r="A15" s="12" t="n">
        <v>13</v>
      </c>
      <c r="B15" s="12" t="inlineStr">
        <is>
          <t>DOCK6-B</t>
        </is>
      </c>
      <c r="C15" s="13" t="inlineStr">
        <is>
          <t>PubChem-136450513</t>
        </is>
      </c>
      <c r="D15" s="12" t="inlineStr">
        <is>
          <t>Catalytic site blocker</t>
        </is>
      </c>
      <c r="E15" s="12" t="n">
        <v>-56.021778</v>
      </c>
      <c r="F15" s="12" t="n">
        <v>0.7664766452319058</v>
      </c>
      <c r="G15" s="12" t="n">
        <v>3</v>
      </c>
      <c r="H15" s="12" t="n">
        <v>-52.48651375</v>
      </c>
      <c r="I15" s="12" t="inlineStr">
        <is>
          <t>balanced</t>
        </is>
      </c>
      <c r="J15" s="12" t="n">
        <v>0.519</v>
      </c>
      <c r="K15" s="12" t="n">
        <v>0.481</v>
      </c>
      <c r="L15" s="12" t="n">
        <v>-5.4</v>
      </c>
      <c r="M15" s="12" t="n">
        <v>0.6053811659192826</v>
      </c>
      <c r="N15" s="12" t="n">
        <v>247</v>
      </c>
      <c r="O15" s="12" t="n">
        <v>0.5780999999999999</v>
      </c>
      <c r="P15" s="12" t="n">
        <v>0.441</v>
      </c>
      <c r="Q15" s="12" t="n">
        <v>291.2</v>
      </c>
      <c r="R15" s="12" t="inlineStr">
        <is>
          <t>2.9H</t>
        </is>
      </c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inlineStr">
        <is>
          <t>1/6</t>
        </is>
      </c>
      <c r="AC15" s="14" t="inlineStr">
        <is>
          <t>48% electrostatico — excepcionalmente balanceado. Interacciones polares genuinas. MW 291.</t>
        </is>
      </c>
    </row>
    <row r="16">
      <c r="A16" s="12" t="n">
        <v>14</v>
      </c>
      <c r="B16" s="12" t="inlineStr">
        <is>
          <t>DOCK6-B</t>
        </is>
      </c>
      <c r="C16" s="13" t="inlineStr">
        <is>
          <t>PubChem-136488320</t>
        </is>
      </c>
      <c r="D16" s="12" t="inlineStr">
        <is>
          <t>Catalytic site blocker</t>
        </is>
      </c>
      <c r="E16" s="12" t="n">
        <v>-53.119209</v>
      </c>
      <c r="F16" s="12" t="n">
        <v>0.7267643863729648</v>
      </c>
      <c r="G16" s="12" t="n">
        <v>8</v>
      </c>
      <c r="H16" s="12" t="n">
        <v>-48.3012445</v>
      </c>
      <c r="I16" s="12" t="inlineStr">
        <is>
          <t>balanced</t>
        </is>
      </c>
      <c r="J16" s="12" t="n">
        <v>0.626</v>
      </c>
      <c r="K16" s="12" t="n">
        <v>0.374</v>
      </c>
      <c r="L16" s="12" t="n">
        <v>-6.29</v>
      </c>
      <c r="M16" s="12" t="n">
        <v>0.7051569506726457</v>
      </c>
      <c r="N16" s="12" t="n">
        <v>80</v>
      </c>
      <c r="O16" s="12" t="n">
        <v>0.8383</v>
      </c>
      <c r="P16" s="12" t="n">
        <v>0.45</v>
      </c>
      <c r="Q16" s="12" t="n">
        <v>305.2</v>
      </c>
      <c r="R16" s="12" t="inlineStr">
        <is>
          <t>2.8H</t>
        </is>
      </c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inlineStr">
        <is>
          <t>1/6</t>
        </is>
      </c>
      <c r="AC16" s="14" t="inlineStr">
        <is>
          <t>Grid -53.1, 37% ES. GN#80 sugiere validacion cross-engine. E529 2.8A H-bond.</t>
        </is>
      </c>
    </row>
    <row r="17">
      <c r="A17" s="12" t="n">
        <v>15</v>
      </c>
      <c r="B17" s="12" t="inlineStr">
        <is>
          <t>DOCK6-B</t>
        </is>
      </c>
      <c r="C17" s="13" t="inlineStr">
        <is>
          <t>PubChem-73329795</t>
        </is>
      </c>
      <c r="D17" s="12" t="inlineStr">
        <is>
          <t>Catalytic site blocker</t>
        </is>
      </c>
      <c r="E17" s="12" t="n">
        <v>-56.632244</v>
      </c>
      <c r="F17" s="12" t="n">
        <v>0.7748288958817895</v>
      </c>
      <c r="G17" s="12" t="n">
        <v>22</v>
      </c>
      <c r="H17" s="12" t="n">
        <v>-42.903158</v>
      </c>
      <c r="I17" s="12" t="inlineStr">
        <is>
          <t>vdW_dominant</t>
        </is>
      </c>
      <c r="J17" s="12" t="n">
        <v>0.797</v>
      </c>
      <c r="K17" s="12" t="n">
        <v>0.203</v>
      </c>
      <c r="L17" s="12" t="n">
        <v>-8.550000000000001</v>
      </c>
      <c r="M17" s="12" t="n">
        <v>0.9585201793721974</v>
      </c>
      <c r="N17" s="12" t="n">
        <v>253</v>
      </c>
      <c r="O17" s="12" t="n">
        <v>0.3558</v>
      </c>
      <c r="P17" s="12" t="n">
        <v>0.412</v>
      </c>
      <c r="Q17" s="12" t="n">
        <v>463.5</v>
      </c>
      <c r="R17" s="12" t="inlineStr">
        <is>
          <t>2.9H</t>
        </is>
      </c>
      <c r="S17" s="12" t="inlineStr">
        <is>
          <t>3.4H</t>
        </is>
      </c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inlineStr">
        <is>
          <t>2/6</t>
        </is>
      </c>
      <c r="AC17" s="14" t="inlineStr">
        <is>
          <t>Grid -56.6, 3/3 peptide residues. E529 2.9A H-bond.</t>
        </is>
      </c>
    </row>
    <row r="18">
      <c r="A18" s="12" t="n">
        <v>16</v>
      </c>
      <c r="B18" s="12" t="inlineStr">
        <is>
          <t>DOCK6-B</t>
        </is>
      </c>
      <c r="C18" s="13" t="inlineStr">
        <is>
          <t>PubChem-73329717</t>
        </is>
      </c>
      <c r="D18" s="12" t="inlineStr">
        <is>
          <t>Catalytic site blocker</t>
        </is>
      </c>
      <c r="E18" s="12" t="n">
        <v>-48.871521</v>
      </c>
      <c r="F18" s="12" t="n">
        <v>0.6686485292105623</v>
      </c>
      <c r="G18" s="12" t="n">
        <v>25</v>
      </c>
      <c r="H18" s="12" t="n">
        <v>-42.5880928</v>
      </c>
      <c r="I18" s="12" t="inlineStr">
        <is>
          <t>vdW_dominant</t>
        </is>
      </c>
      <c r="J18" s="12" t="n">
        <v>0.786</v>
      </c>
      <c r="K18" s="12" t="n">
        <v>0.214</v>
      </c>
      <c r="L18" s="12" t="n">
        <v>-9.08</v>
      </c>
      <c r="M18" s="12" t="n">
        <v>1.017937219730942</v>
      </c>
      <c r="N18" s="12" t="n">
        <v>205</v>
      </c>
      <c r="O18" s="12" t="n">
        <v>0.4148</v>
      </c>
      <c r="P18" s="12" t="n">
        <v>0.456</v>
      </c>
      <c r="Q18" s="12" t="n">
        <v>448</v>
      </c>
      <c r="R18" s="12" t="inlineStr">
        <is>
          <t>3.1H</t>
        </is>
      </c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inlineStr">
        <is>
          <t>1/6</t>
        </is>
      </c>
      <c r="AC18" s="14" t="inlineStr">
        <is>
          <t>H-bond con 3 residuos peptidicos (Q462, R557, K461) + E529. Grid -48.9.</t>
        </is>
      </c>
    </row>
    <row r="19">
      <c r="A19" s="15" t="n">
        <v>17</v>
      </c>
      <c r="B19" s="15" t="inlineStr">
        <is>
          <t>Cross-engine</t>
        </is>
      </c>
      <c r="C19" s="16" t="inlineStr">
        <is>
          <t>MolPort-035-704-075</t>
        </is>
      </c>
      <c r="D19" s="15" t="inlineStr">
        <is>
          <t>Cross-engine consensus</t>
        </is>
      </c>
      <c r="E19" s="15" t="n">
        <v>-45.117733</v>
      </c>
      <c r="F19" s="15" t="n">
        <v>0.6172900944041593</v>
      </c>
      <c r="G19" s="15" t="n">
        <v>31</v>
      </c>
      <c r="H19" s="15" t="n">
        <v>-42.0274728</v>
      </c>
      <c r="I19" s="15" t="inlineStr">
        <is>
          <t>vdW_dominant</t>
        </is>
      </c>
      <c r="J19" s="15" t="n">
        <v>0.909</v>
      </c>
      <c r="K19" s="15" t="n">
        <v>0.091</v>
      </c>
      <c r="L19" s="15" t="n">
        <v>-7.7</v>
      </c>
      <c r="M19" s="15" t="n">
        <v>0.8632286995515696</v>
      </c>
      <c r="N19" s="15" t="n">
        <v>17</v>
      </c>
      <c r="O19" s="15" t="n">
        <v>0.8237</v>
      </c>
      <c r="P19" s="15" t="n">
        <v>0.694</v>
      </c>
      <c r="Q19" s="15" t="n">
        <v>348.8</v>
      </c>
      <c r="R19" s="15" t="inlineStr">
        <is>
          <t>2.8H</t>
        </is>
      </c>
      <c r="S19" s="15" t="inlineStr">
        <is>
          <t>3.5H</t>
        </is>
      </c>
      <c r="T19" s="15" t="n"/>
      <c r="U19" s="15" t="n"/>
      <c r="V19" s="15" t="inlineStr">
        <is>
          <t>3.3H</t>
        </is>
      </c>
      <c r="W19" s="15" t="inlineStr">
        <is>
          <t>3.6v</t>
        </is>
      </c>
      <c r="X19" s="15" t="n"/>
      <c r="Y19" s="15" t="n"/>
      <c r="Z19" s="15" t="inlineStr">
        <is>
          <t>3.5H</t>
        </is>
      </c>
      <c r="AA19" s="15" t="inlineStr">
        <is>
          <t>4.5v</t>
        </is>
      </c>
      <c r="AB19" s="15" t="inlineStr">
        <is>
          <t>6/6</t>
        </is>
      </c>
      <c r="AC19" s="17" t="inlineStr">
        <is>
          <t>Mejor hit integral. 6/6 Briggs, QED 0.694, MW 349. =MolPort-039-347-142. Comprable.</t>
        </is>
      </c>
    </row>
    <row r="20">
      <c r="A20" s="15" t="n">
        <v>18</v>
      </c>
      <c r="B20" s="15" t="inlineStr">
        <is>
          <t>Cross-engine</t>
        </is>
      </c>
      <c r="C20" s="16" t="inlineStr">
        <is>
          <t>MolPort-035-702-141</t>
        </is>
      </c>
      <c r="D20" s="15" t="inlineStr">
        <is>
          <t>Cross-engine consensus</t>
        </is>
      </c>
      <c r="E20" s="15" t="n">
        <v>-53.200695</v>
      </c>
      <c r="F20" s="15" t="n">
        <v>0.7278792584484882</v>
      </c>
      <c r="G20" s="15" t="n">
        <v>11</v>
      </c>
      <c r="H20" s="15" t="n">
        <v>-46.462767875</v>
      </c>
      <c r="I20" s="15" t="inlineStr">
        <is>
          <t>vdW_dominant</t>
        </is>
      </c>
      <c r="J20" s="15" t="n">
        <v>0.949</v>
      </c>
      <c r="K20" s="15" t="n">
        <v>0.051</v>
      </c>
      <c r="L20" s="15" t="n">
        <v>-7.92</v>
      </c>
      <c r="M20" s="15" t="n">
        <v>0.8878923766816144</v>
      </c>
      <c r="N20" s="15" t="n">
        <v>24</v>
      </c>
      <c r="O20" s="15" t="n">
        <v>0.7726</v>
      </c>
      <c r="P20" s="15" t="n">
        <v>0.468</v>
      </c>
      <c r="Q20" s="15" t="n">
        <v>436.4</v>
      </c>
      <c r="R20" s="15" t="inlineStr">
        <is>
          <t>3.2H</t>
        </is>
      </c>
      <c r="S20" s="15" t="inlineStr">
        <is>
          <t>3.4H</t>
        </is>
      </c>
      <c r="T20" s="15" t="n"/>
      <c r="U20" s="15" t="n"/>
      <c r="V20" s="15" t="inlineStr">
        <is>
          <t>4.1v</t>
        </is>
      </c>
      <c r="W20" s="15" t="n"/>
      <c r="X20" s="15" t="n"/>
      <c r="Y20" s="15" t="n"/>
      <c r="Z20" s="15" t="inlineStr">
        <is>
          <t>3.8v</t>
        </is>
      </c>
      <c r="AA20" s="15" t="inlineStr">
        <is>
          <t>3.6v</t>
        </is>
      </c>
      <c r="AB20" s="15" t="inlineStr">
        <is>
          <t>5/6</t>
        </is>
      </c>
      <c r="AC20" s="17" t="inlineStr">
        <is>
          <t>Mejor avg rank (17.5) con Briggs 5/6. Grid -53.2. Comprable MolPort.</t>
        </is>
      </c>
    </row>
    <row r="21">
      <c r="A21" s="15" t="n">
        <v>19</v>
      </c>
      <c r="B21" s="15" t="inlineStr">
        <is>
          <t>Cross-engine</t>
        </is>
      </c>
      <c r="C21" s="16" t="inlineStr">
        <is>
          <t>PubChem-67908940</t>
        </is>
      </c>
      <c r="D21" s="15" t="inlineStr">
        <is>
          <t>Cross-engine consensus</t>
        </is>
      </c>
      <c r="E21" s="15" t="n">
        <v>-59.110245</v>
      </c>
      <c r="F21" s="15" t="n">
        <v>0.8087323163223422</v>
      </c>
      <c r="G21" s="15" t="n">
        <v>14</v>
      </c>
      <c r="H21" s="15" t="n">
        <v>-44.47859857142857</v>
      </c>
      <c r="I21" s="15" t="inlineStr">
        <is>
          <t>vdW_dominant</t>
        </is>
      </c>
      <c r="J21" s="15" t="n">
        <v>0.736</v>
      </c>
      <c r="K21" s="15" t="n">
        <v>0.264</v>
      </c>
      <c r="L21" s="15" t="n">
        <v>-9.07</v>
      </c>
      <c r="M21" s="15" t="n">
        <v>1.016816143497758</v>
      </c>
      <c r="N21" s="15" t="n">
        <v>2</v>
      </c>
      <c r="O21" s="15" t="n">
        <v>0.7923</v>
      </c>
      <c r="P21" s="15" t="n">
        <v>0.329</v>
      </c>
      <c r="Q21" s="15" t="n">
        <v>412.4</v>
      </c>
      <c r="R21" s="15" t="inlineStr">
        <is>
          <t>4.0v</t>
        </is>
      </c>
      <c r="S21" s="15" t="inlineStr">
        <is>
          <t>3.6v</t>
        </is>
      </c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inlineStr">
        <is>
          <t>2/6</t>
        </is>
      </c>
      <c r="AC21" s="17" t="inlineStr">
        <is>
          <t>Peptidomimetico (Trp-Ser). Avg rank 8.0 (D6#14+GN#2). Para optimizacion scaffold.</t>
        </is>
      </c>
    </row>
    <row r="22">
      <c r="A22" s="15" t="n">
        <v>20</v>
      </c>
      <c r="B22" s="15" t="inlineStr">
        <is>
          <t>Cross-engine</t>
        </is>
      </c>
      <c r="C22" s="16" t="inlineStr">
        <is>
          <t>PubChem-165586370</t>
        </is>
      </c>
      <c r="D22" s="15" t="inlineStr">
        <is>
          <t>Cross-engine consensus</t>
        </is>
      </c>
      <c r="E22" s="15" t="n">
        <v>-53.733734</v>
      </c>
      <c r="F22" s="15" t="n">
        <v>0.7351721712956628</v>
      </c>
      <c r="G22" s="15" t="n">
        <v>5</v>
      </c>
      <c r="H22" s="15" t="n">
        <v>-52.03954299999999</v>
      </c>
      <c r="I22" s="15" t="inlineStr">
        <is>
          <t>vdW_dominant</t>
        </is>
      </c>
      <c r="J22" s="15" t="n">
        <v>0.852</v>
      </c>
      <c r="K22" s="15" t="n">
        <v>0.148</v>
      </c>
      <c r="L22" s="15" t="n">
        <v>-9.369999999999999</v>
      </c>
      <c r="M22" s="15" t="n">
        <v>1.050448430493274</v>
      </c>
      <c r="N22" s="15" t="n">
        <v>86</v>
      </c>
      <c r="O22" s="15" t="n">
        <v>0.5497</v>
      </c>
      <c r="P22" s="15" t="n">
        <v>0.432</v>
      </c>
      <c r="Q22" s="15" t="n">
        <v>448.4</v>
      </c>
      <c r="R22" s="15" t="inlineStr">
        <is>
          <t>3.3H</t>
        </is>
      </c>
      <c r="S22" s="15" t="n"/>
      <c r="T22" s="15" t="n"/>
      <c r="U22" s="15" t="n"/>
      <c r="V22" s="15" t="inlineStr">
        <is>
          <t>4.3v</t>
        </is>
      </c>
      <c r="W22" s="15" t="n"/>
      <c r="X22" s="15" t="n"/>
      <c r="Y22" s="15" t="n"/>
      <c r="Z22" s="15" t="inlineStr">
        <is>
          <t>3.2H</t>
        </is>
      </c>
      <c r="AA22" s="15" t="inlineStr">
        <is>
          <t>4.4v</t>
        </is>
      </c>
      <c r="AB22" s="15" t="inlineStr">
        <is>
          <t>4/6</t>
        </is>
      </c>
      <c r="AC22" s="17" t="inlineStr">
        <is>
          <t>Mejor Vina biblioteca (-9.37) + D6#5. 4/6 Briggs.</t>
        </is>
      </c>
    </row>
    <row r="23">
      <c r="A23" s="18" t="inlineStr">
        <is>
          <t>REF</t>
        </is>
      </c>
      <c r="B23" s="18" t="inlineStr">
        <is>
          <t>Reference</t>
        </is>
      </c>
      <c r="C23" s="19" t="inlineStr">
        <is>
          <t>SD1</t>
        </is>
      </c>
      <c r="D23" s="18" t="inlineStr">
        <is>
          <t>Syndecan-1 peptide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>
        <v>183</v>
      </c>
      <c r="O23" s="18" t="n"/>
      <c r="P23" s="18" t="n"/>
      <c r="Q23" s="18" t="n"/>
      <c r="R23" s="18" t="inlineStr">
        <is>
          <t>2.8H</t>
        </is>
      </c>
      <c r="S23" s="18" t="inlineStr">
        <is>
          <t>3.5H</t>
        </is>
      </c>
      <c r="T23" s="18" t="inlineStr">
        <is>
          <t>4.0v</t>
        </is>
      </c>
      <c r="U23" s="18" t="n"/>
      <c r="V23" s="18" t="inlineStr">
        <is>
          <t>2.8H</t>
        </is>
      </c>
      <c r="W23" s="18" t="inlineStr">
        <is>
          <t>3.5H</t>
        </is>
      </c>
      <c r="X23" s="18" t="n"/>
      <c r="Y23" s="18" t="n"/>
      <c r="Z23" s="18" t="inlineStr">
        <is>
          <t>3.0H</t>
        </is>
      </c>
      <c r="AA23" s="18" t="inlineStr">
        <is>
          <t>2.8H</t>
        </is>
      </c>
      <c r="AB23" s="18" t="inlineStr">
        <is>
          <t>6/6</t>
        </is>
      </c>
      <c r="AC23" s="20" t="inlineStr">
        <is>
          <t>Crystal reference (Briggs 2018, peptide 8, PAAEGSGEQDFT)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2026-04-04T20:31:50Z</dcterms:created>
  <dcterms:modified xmlns:dcterms="http://purl.org/dc/terms/" xmlns:xsi="http://www.w3.org/2001/XMLSchema-instance" xsi:type="dcterms:W3CDTF">2026-04-04T20:31:50Z</dcterms:modified>
</cp:coreProperties>
</file>